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r1yUBZDbNjCYpkJmB8BfCh+IxWYG6m3uaPBBy7xqqxM="/>
    </ext>
  </extLst>
</workbook>
</file>

<file path=xl/sharedStrings.xml><?xml version="1.0" encoding="utf-8"?>
<sst xmlns="http://schemas.openxmlformats.org/spreadsheetml/2006/main" count="215" uniqueCount="88">
  <si>
    <t>SIGLA</t>
  </si>
  <si>
    <t>Matriz Estructura de descomposición de tareas EDT</t>
  </si>
  <si>
    <t>ROL</t>
  </si>
  <si>
    <t>NOMBRE</t>
  </si>
  <si>
    <t>VALOR HORA HH</t>
  </si>
  <si>
    <t>HORAS</t>
  </si>
  <si>
    <t>FASE PLANIFICACION</t>
  </si>
  <si>
    <t>COSTO POR HORA</t>
  </si>
  <si>
    <t>Etapas</t>
  </si>
  <si>
    <t>DIAS</t>
  </si>
  <si>
    <t>JP</t>
  </si>
  <si>
    <t>HORAS POR ACTIVIDAD O ENTREGABLE</t>
  </si>
  <si>
    <t>Jefe de Proyecto</t>
  </si>
  <si>
    <t>Felipe Ponce</t>
  </si>
  <si>
    <t>DICCIONARIO EDT</t>
  </si>
  <si>
    <t>Fase de Planificación</t>
  </si>
  <si>
    <t>Analista Programador</t>
  </si>
  <si>
    <t>DBA</t>
  </si>
  <si>
    <t>QA</t>
  </si>
  <si>
    <t>Diseñador</t>
  </si>
  <si>
    <t>COSTO x HORA</t>
  </si>
  <si>
    <t>ROL ACTOR</t>
  </si>
  <si>
    <t>NOMBRE ACTOR</t>
  </si>
  <si>
    <t>Sueldo mes</t>
  </si>
  <si>
    <t>Acta de Constitución de proyecto</t>
  </si>
  <si>
    <t>AP-B</t>
  </si>
  <si>
    <t>Analista Programador (Backend)</t>
  </si>
  <si>
    <t>Joaquín Perez</t>
  </si>
  <si>
    <t>Organización del equipo y roles</t>
  </si>
  <si>
    <t>AP-F</t>
  </si>
  <si>
    <t>Analista Programador (Frontend)</t>
  </si>
  <si>
    <t>Carol Pacheco</t>
  </si>
  <si>
    <t>Definición de requerimientos Generales (ERS)</t>
  </si>
  <si>
    <t>AP-M</t>
  </si>
  <si>
    <t>Analista Programador (Móvil)</t>
  </si>
  <si>
    <t>Ámbar Hidalgo</t>
  </si>
  <si>
    <t>Administrador BD</t>
  </si>
  <si>
    <t>Planilla de requerimientos y Matriz EDT</t>
  </si>
  <si>
    <t>UI/QA</t>
  </si>
  <si>
    <t>Diseñador UI/UX + QA</t>
  </si>
  <si>
    <t>Katherine Pereira</t>
  </si>
  <si>
    <t>Calidad Y Testing</t>
  </si>
  <si>
    <t>Aprobación del Acta y Fase 1</t>
  </si>
  <si>
    <t>TOTAL FASE PLANIFICACION</t>
  </si>
  <si>
    <t>Fase de Análisis y diseño</t>
  </si>
  <si>
    <t xml:space="preserve">Requerimientos específicos y Casos de Uso </t>
  </si>
  <si>
    <t>Documento de Arquitectura SW (NestJS / Next.js / React Native)</t>
  </si>
  <si>
    <t xml:space="preserve">VALOR HORA HH </t>
  </si>
  <si>
    <t>FASE DISEÑO</t>
  </si>
  <si>
    <t>COSTO HH POR ROL</t>
  </si>
  <si>
    <t>Prototipos y Mockups UI/UX</t>
  </si>
  <si>
    <t>Propuesta ERS Definitiva y Modelo de Datos</t>
  </si>
  <si>
    <t>Fase de Desarrollo</t>
  </si>
  <si>
    <t>Implementación ambiente de desarrollo (Git, Docker, Render)</t>
  </si>
  <si>
    <t>Scripts de Tablas Base de Datos (PostgreSQL + Prisma)</t>
  </si>
  <si>
    <t>Scripts NoSQL y Websockets Chat (MongoDB + Mongoose)</t>
  </si>
  <si>
    <t>Módulo 1: Autenticación y Usuarios (@duocuc.cl / JWT)</t>
  </si>
  <si>
    <t>TOTAL FASE DISEÑO</t>
  </si>
  <si>
    <t>Módulo 2: Publicaciones y Catálogo (CRUD + Filtro)</t>
  </si>
  <si>
    <t>TOTAL HH</t>
  </si>
  <si>
    <t>Módulo 3: Moderación Automática (Filtro palabras sensibles)</t>
  </si>
  <si>
    <t>Módulo 4: Chat en Tiempo Real (Sockets.IO)</t>
  </si>
  <si>
    <t>FASE DESARROLLO</t>
  </si>
  <si>
    <t>COSTO POR FASE</t>
  </si>
  <si>
    <t>Módulo 5: Geolocalización (Mapbox API)</t>
  </si>
  <si>
    <t>Módulo 6: Banners Publicitarios y Monetización</t>
  </si>
  <si>
    <t>Módulo 7: Panel Administrador y Reportes Institucionales</t>
  </si>
  <si>
    <t>Fase de Pruebas y QA</t>
  </si>
  <si>
    <t>Fase de Análisis y Diseño</t>
  </si>
  <si>
    <t>Implementación ambiente de pruebas</t>
  </si>
  <si>
    <t>Pruebas Funcionales</t>
  </si>
  <si>
    <t xml:space="preserve">Pruebas de Usuario (UAT) y Seguridad de Datos  </t>
  </si>
  <si>
    <t>Fase de QA</t>
  </si>
  <si>
    <t>Fase de Implementación y Cierre</t>
  </si>
  <si>
    <t>Fase de implementación y cierre</t>
  </si>
  <si>
    <t>TOTAL FASE DESARROLLO</t>
  </si>
  <si>
    <t>TOTAL HH FASES</t>
  </si>
  <si>
    <t>Migración del sistema a producción</t>
  </si>
  <si>
    <t>FASE PRUEBAS QA</t>
  </si>
  <si>
    <t xml:space="preserve">Margen </t>
  </si>
  <si>
    <t>Capacitaciones y Manuales de Usuario</t>
  </si>
  <si>
    <t>Acta cierre de proyecto</t>
  </si>
  <si>
    <t>UTILIDAD</t>
  </si>
  <si>
    <t>TOTAL</t>
  </si>
  <si>
    <t>PRECIO FINAL</t>
  </si>
  <si>
    <t>TOTAL FASE PRUEBAS QA</t>
  </si>
  <si>
    <t>FASE IMPLEMENTACION Y CIERRE</t>
  </si>
  <si>
    <t>TOTAL FASE IMPLEMENTACION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</si>
</sst>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;\-0\ "/>
    <numFmt numFmtId="165" formatCode="_ &quot;$&quot;* #,##0_ ;_ &quot;$&quot;* \-#,##0_ ;_ &quot;$&quot;* &quot;-&quot;_ ;_ @_ 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sz val="11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ADB9CA"/>
        <bgColor rgb="FFADB9CA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ill="1" applyFont="1">
      <alignment horizontal="center"/>
    </xf>
    <xf borderId="1" fillId="0" fontId="1" numFmtId="0" xfId="0" applyBorder="1" applyFont="1"/>
    <xf borderId="6" fillId="0" fontId="3" numFmtId="0" xfId="0" applyBorder="1" applyFont="1"/>
    <xf borderId="7" fillId="0" fontId="3" numFmtId="0" xfId="0" applyBorder="1" applyFont="1"/>
    <xf borderId="1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9" fillId="0" fontId="3" numFmtId="0" xfId="0" applyBorder="1" applyFont="1"/>
    <xf borderId="10" fillId="0" fontId="3" numFmtId="0" xfId="0" applyBorder="1" applyFont="1"/>
    <xf borderId="1" fillId="0" fontId="1" numFmtId="164" xfId="0" applyAlignment="1" applyBorder="1" applyFont="1" applyNumberFormat="1">
      <alignment readingOrder="0"/>
    </xf>
    <xf borderId="11" fillId="2" fontId="1" numFmtId="0" xfId="0" applyBorder="1" applyFill="1" applyFont="1"/>
    <xf borderId="1" fillId="2" fontId="1" numFmtId="0" xfId="0" applyBorder="1" applyFill="1" applyFont="1"/>
    <xf borderId="1" fillId="0" fontId="1" numFmtId="165" xfId="0" applyBorder="1" applyFont="1" applyNumberFormat="1"/>
    <xf borderId="12" fillId="4" fontId="4" numFmtId="0" xfId="0" applyBorder="1" applyFill="1" applyFont="1"/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/>
    </xf>
    <xf borderId="12" fillId="4" fontId="4" numFmtId="0" xfId="0" applyAlignment="1" applyBorder="1" applyFill="1" applyFont="1">
      <alignment readingOrder="0"/>
    </xf>
    <xf borderId="13" fillId="4" fontId="4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5" fontId="7" numFmtId="0" xfId="0" applyBorder="1" applyFill="1" applyFont="1"/>
    <xf borderId="1" fillId="5" fontId="7" numFmtId="165" xfId="0" applyBorder="1" applyFill="1" applyFont="1" applyNumberFormat="1"/>
    <xf borderId="12" fillId="4" fontId="4" numFmtId="0" xfId="0" applyAlignment="1" applyBorder="1" applyFill="1" applyFont="1">
      <alignment horizontal="left"/>
    </xf>
    <xf borderId="12" fillId="4" fontId="4" numFmtId="0" xfId="0" applyAlignment="1" applyBorder="1" applyFill="1" applyFont="1">
      <alignment horizontal="left" readingOrder="0"/>
    </xf>
    <xf borderId="1" fillId="0" fontId="1" numFmtId="9" xfId="0" applyBorder="1" applyFont="1" applyNumberFormat="1"/>
    <xf borderId="0" fillId="0" fontId="8" numFmtId="0" xfId="0" applyAlignment="1" applyFont="1">
      <alignment horizontal="right" readingOrder="0"/>
    </xf>
    <xf borderId="14" fillId="0" fontId="8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55.43"/>
    <col customWidth="1" min="2" max="2" width="7.43"/>
    <col customWidth="1" min="3" max="3" width="10.71"/>
    <col customWidth="1" min="4" max="4" width="12.86"/>
    <col customWidth="1" min="5" max="5" width="9.14"/>
    <col customWidth="1" min="6" max="6" width="8.14"/>
    <col customWidth="1" min="7" max="7" width="12.0"/>
    <col customWidth="1" min="8" max="8" width="5.0"/>
    <col customWidth="1" min="9" max="9" width="28.86"/>
    <col customWidth="1" min="10" max="10" width="29.71"/>
    <col customWidth="1" min="11" max="26" width="10.71"/>
  </cols>
  <sheetData>
    <row r="1" ht="14.25" customHeight="1"/>
    <row r="2" ht="14.25" customHeight="1">
      <c r="A2" s="2" t="s">
        <v>1</v>
      </c>
      <c r="B2" s="4"/>
      <c r="C2" s="4"/>
      <c r="D2" s="5"/>
    </row>
    <row r="3" ht="14.25" customHeight="1"/>
    <row r="4" ht="14.25" customHeight="1">
      <c r="A4" s="7" t="s">
        <v>8</v>
      </c>
      <c r="B4" s="10" t="s">
        <v>9</v>
      </c>
      <c r="C4" s="11" t="s">
        <v>11</v>
      </c>
      <c r="D4" s="13"/>
      <c r="E4" s="13"/>
      <c r="F4" s="13"/>
      <c r="G4" s="14"/>
      <c r="I4" s="11" t="s">
        <v>14</v>
      </c>
      <c r="J4" s="14"/>
    </row>
    <row r="5" ht="14.25" customHeight="1">
      <c r="A5" s="16" t="s">
        <v>15</v>
      </c>
      <c r="B5" s="17"/>
      <c r="C5" s="3" t="s">
        <v>12</v>
      </c>
      <c r="D5" s="3" t="s">
        <v>16</v>
      </c>
      <c r="E5" s="3" t="s">
        <v>17</v>
      </c>
      <c r="F5" s="3" t="s">
        <v>18</v>
      </c>
      <c r="G5" s="3" t="s">
        <v>19</v>
      </c>
      <c r="I5" s="1" t="s">
        <v>21</v>
      </c>
      <c r="J5" s="1" t="s">
        <v>22</v>
      </c>
    </row>
    <row r="6" ht="14.25" customHeight="1" outlineLevel="1">
      <c r="A6" s="19" t="s">
        <v>24</v>
      </c>
      <c r="B6" s="12">
        <v>3.0</v>
      </c>
      <c r="C6" s="21">
        <v>12.0</v>
      </c>
      <c r="D6" s="21">
        <v>0.0</v>
      </c>
      <c r="E6" s="21">
        <v>0.0</v>
      </c>
      <c r="F6" s="21">
        <v>0.0</v>
      </c>
      <c r="G6" s="21">
        <v>0.0</v>
      </c>
      <c r="I6" s="7" t="s">
        <v>12</v>
      </c>
      <c r="J6" s="12" t="s">
        <v>13</v>
      </c>
    </row>
    <row r="7" ht="14.25" customHeight="1" outlineLevel="1">
      <c r="A7" s="22" t="s">
        <v>28</v>
      </c>
      <c r="B7" s="12">
        <v>2.0</v>
      </c>
      <c r="C7" s="21">
        <v>8.0</v>
      </c>
      <c r="D7" s="21">
        <v>4.0</v>
      </c>
      <c r="E7" s="21">
        <v>0.0</v>
      </c>
      <c r="F7" s="21">
        <v>0.0</v>
      </c>
      <c r="G7" s="21">
        <v>0.0</v>
      </c>
      <c r="I7" s="12" t="s">
        <v>26</v>
      </c>
      <c r="J7" s="20" t="s">
        <v>27</v>
      </c>
    </row>
    <row r="8" ht="14.25" customHeight="1" outlineLevel="1">
      <c r="A8" s="22" t="s">
        <v>32</v>
      </c>
      <c r="B8" s="12">
        <v>7.0</v>
      </c>
      <c r="C8" s="21">
        <v>10.0</v>
      </c>
      <c r="D8" s="21">
        <v>16.0</v>
      </c>
      <c r="E8" s="21">
        <v>10.0</v>
      </c>
      <c r="F8" s="21">
        <v>10.0</v>
      </c>
      <c r="G8" s="21">
        <v>10.0</v>
      </c>
      <c r="I8" s="12" t="s">
        <v>30</v>
      </c>
      <c r="J8" s="12" t="s">
        <v>31</v>
      </c>
    </row>
    <row r="9" ht="14.25" customHeight="1" outlineLevel="1">
      <c r="A9" s="22" t="s">
        <v>37</v>
      </c>
      <c r="B9" s="12">
        <v>5.0</v>
      </c>
      <c r="C9" s="21">
        <v>6.0</v>
      </c>
      <c r="D9" s="21">
        <v>10.0</v>
      </c>
      <c r="E9" s="21">
        <v>5.0</v>
      </c>
      <c r="F9" s="21">
        <v>10.0</v>
      </c>
      <c r="G9" s="21">
        <v>5.0</v>
      </c>
      <c r="I9" s="12" t="s">
        <v>34</v>
      </c>
      <c r="J9" s="12" t="s">
        <v>35</v>
      </c>
    </row>
    <row r="10" ht="14.25" customHeight="1" outlineLevel="1">
      <c r="A10" s="12" t="s">
        <v>42</v>
      </c>
      <c r="B10" s="12">
        <v>3.0</v>
      </c>
      <c r="C10" s="21">
        <v>4.0</v>
      </c>
      <c r="D10" s="21">
        <v>10.0</v>
      </c>
      <c r="E10" s="21">
        <v>5.0</v>
      </c>
      <c r="F10" s="21">
        <v>10.0</v>
      </c>
      <c r="G10" s="21">
        <v>15.0</v>
      </c>
      <c r="I10" s="12" t="s">
        <v>39</v>
      </c>
      <c r="J10" s="12" t="s">
        <v>40</v>
      </c>
    </row>
    <row r="11" ht="14.25" customHeight="1">
      <c r="A11" s="17" t="s">
        <v>44</v>
      </c>
      <c r="B11" s="17"/>
      <c r="C11" s="3" t="s">
        <v>12</v>
      </c>
      <c r="D11" s="3" t="s">
        <v>16</v>
      </c>
      <c r="E11" s="3" t="s">
        <v>17</v>
      </c>
      <c r="F11" s="3" t="s">
        <v>18</v>
      </c>
      <c r="G11" s="3" t="s">
        <v>19</v>
      </c>
    </row>
    <row r="12" ht="14.25" customHeight="1" outlineLevel="1">
      <c r="A12" s="22" t="s">
        <v>45</v>
      </c>
      <c r="B12" s="12">
        <v>4.0</v>
      </c>
      <c r="C12" s="21">
        <v>6.0</v>
      </c>
      <c r="D12" s="21">
        <v>15.0</v>
      </c>
      <c r="E12" s="21">
        <v>5.0</v>
      </c>
      <c r="F12" s="21">
        <v>5.0</v>
      </c>
      <c r="G12" s="21">
        <v>10.0</v>
      </c>
    </row>
    <row r="13" ht="14.25" customHeight="1" outlineLevel="1">
      <c r="A13" s="23" t="s">
        <v>46</v>
      </c>
      <c r="B13" s="12">
        <v>3.0</v>
      </c>
      <c r="C13" s="21">
        <v>4.0</v>
      </c>
      <c r="D13" s="21">
        <v>20.0</v>
      </c>
      <c r="E13" s="21">
        <v>10.0</v>
      </c>
      <c r="F13" s="21">
        <v>0.0</v>
      </c>
      <c r="G13" s="21">
        <v>0.0</v>
      </c>
    </row>
    <row r="14" ht="14.25" customHeight="1" outlineLevel="1">
      <c r="A14" s="22" t="s">
        <v>50</v>
      </c>
      <c r="B14" s="12">
        <v>5.0</v>
      </c>
      <c r="C14" s="21">
        <v>2.0</v>
      </c>
      <c r="D14" s="21">
        <v>5.0</v>
      </c>
      <c r="E14" s="21">
        <v>0.0</v>
      </c>
      <c r="F14" s="21">
        <v>5.0</v>
      </c>
      <c r="G14" s="21">
        <v>40.0</v>
      </c>
    </row>
    <row r="15" ht="14.25" customHeight="1" outlineLevel="1">
      <c r="A15" s="24" t="s">
        <v>51</v>
      </c>
      <c r="B15" s="12">
        <v>3.0</v>
      </c>
      <c r="C15" s="21">
        <v>8.0</v>
      </c>
      <c r="D15" s="21">
        <v>20.0</v>
      </c>
      <c r="E15" s="21">
        <v>15.0</v>
      </c>
      <c r="F15" s="21">
        <v>15.0</v>
      </c>
      <c r="G15" s="21">
        <v>10.0</v>
      </c>
    </row>
    <row r="16" ht="14.25" customHeight="1">
      <c r="A16" s="17" t="s">
        <v>52</v>
      </c>
      <c r="B16" s="17"/>
      <c r="C16" s="3" t="s">
        <v>12</v>
      </c>
      <c r="D16" s="3" t="s">
        <v>16</v>
      </c>
      <c r="E16" s="3" t="s">
        <v>17</v>
      </c>
      <c r="F16" s="3" t="s">
        <v>18</v>
      </c>
      <c r="G16" s="3" t="s">
        <v>19</v>
      </c>
    </row>
    <row r="17" ht="18.0" customHeight="1" outlineLevel="1">
      <c r="A17" s="22" t="s">
        <v>53</v>
      </c>
      <c r="B17" s="12">
        <v>2.0</v>
      </c>
      <c r="C17" s="21">
        <v>2.0</v>
      </c>
      <c r="D17" s="21">
        <v>10.0</v>
      </c>
      <c r="E17" s="21">
        <v>5.0</v>
      </c>
      <c r="F17" s="21">
        <v>0.0</v>
      </c>
      <c r="G17" s="21">
        <v>0.0</v>
      </c>
    </row>
    <row r="18" ht="18.0" customHeight="1" outlineLevel="1">
      <c r="A18" s="22" t="s">
        <v>54</v>
      </c>
      <c r="B18" s="12">
        <v>3.0</v>
      </c>
      <c r="C18" s="21">
        <v>0.0</v>
      </c>
      <c r="D18" s="21">
        <v>15.0</v>
      </c>
      <c r="E18" s="21">
        <v>20.0</v>
      </c>
      <c r="F18" s="21">
        <v>0.0</v>
      </c>
      <c r="G18" s="21">
        <v>0.0</v>
      </c>
    </row>
    <row r="19" ht="18.0" customHeight="1" outlineLevel="1">
      <c r="A19" s="22" t="s">
        <v>55</v>
      </c>
      <c r="B19" s="12">
        <v>3.0</v>
      </c>
      <c r="C19" s="21">
        <v>0.0</v>
      </c>
      <c r="D19" s="21">
        <v>20.0</v>
      </c>
      <c r="E19" s="21">
        <v>15.0</v>
      </c>
      <c r="F19" s="21">
        <v>0.0</v>
      </c>
      <c r="G19" s="21">
        <v>0.0</v>
      </c>
    </row>
    <row r="20" ht="18.0" customHeight="1" outlineLevel="1">
      <c r="A20" s="25" t="s">
        <v>56</v>
      </c>
      <c r="B20" s="12">
        <v>3.0</v>
      </c>
      <c r="C20" s="21">
        <v>4.0</v>
      </c>
      <c r="D20" s="21">
        <v>25.0</v>
      </c>
      <c r="E20" s="21">
        <v>0.0</v>
      </c>
      <c r="F20" s="21">
        <v>5.0</v>
      </c>
      <c r="G20" s="21">
        <v>2.0</v>
      </c>
    </row>
    <row r="21" ht="18.0" customHeight="1" outlineLevel="1">
      <c r="A21" s="26" t="s">
        <v>58</v>
      </c>
      <c r="B21" s="12">
        <v>4.0</v>
      </c>
      <c r="C21" s="21">
        <v>4.0</v>
      </c>
      <c r="D21" s="21">
        <v>30.0</v>
      </c>
      <c r="E21" s="21">
        <v>0.0</v>
      </c>
      <c r="F21" s="21">
        <v>8.0</v>
      </c>
      <c r="G21" s="21">
        <v>4.0</v>
      </c>
    </row>
    <row r="22" ht="18.0" customHeight="1" outlineLevel="1">
      <c r="A22" s="26" t="s">
        <v>60</v>
      </c>
      <c r="B22" s="12">
        <v>2.0</v>
      </c>
      <c r="C22" s="21">
        <v>2.0</v>
      </c>
      <c r="D22" s="21">
        <v>15.0</v>
      </c>
      <c r="E22" s="21">
        <v>0.0</v>
      </c>
      <c r="F22" s="21">
        <v>5.0</v>
      </c>
      <c r="G22" s="21">
        <v>0.0</v>
      </c>
    </row>
    <row r="23" ht="18.0" customHeight="1" outlineLevel="1">
      <c r="A23" s="25" t="s">
        <v>61</v>
      </c>
      <c r="B23" s="12">
        <v>4.0</v>
      </c>
      <c r="C23" s="21">
        <v>4.0</v>
      </c>
      <c r="D23" s="21">
        <v>35.0</v>
      </c>
      <c r="E23" s="21">
        <v>0.0</v>
      </c>
      <c r="F23" s="21">
        <v>8.0</v>
      </c>
      <c r="G23" s="21">
        <v>2.0</v>
      </c>
    </row>
    <row r="24" ht="18.0" customHeight="1" outlineLevel="1">
      <c r="A24" s="26" t="s">
        <v>64</v>
      </c>
      <c r="B24" s="12">
        <v>3.0</v>
      </c>
      <c r="C24" s="21">
        <v>2.0</v>
      </c>
      <c r="D24" s="21">
        <v>25.0</v>
      </c>
      <c r="E24" s="21">
        <v>0.0</v>
      </c>
      <c r="F24" s="21">
        <v>5.0</v>
      </c>
      <c r="G24" s="21">
        <v>2.0</v>
      </c>
    </row>
    <row r="25" ht="18.0" customHeight="1" outlineLevel="1">
      <c r="A25" s="26" t="s">
        <v>65</v>
      </c>
      <c r="B25" s="12">
        <v>2.0</v>
      </c>
      <c r="C25" s="21">
        <v>2.0</v>
      </c>
      <c r="D25" s="21">
        <v>15.0</v>
      </c>
      <c r="E25" s="21">
        <v>0.0</v>
      </c>
      <c r="F25" s="21">
        <v>4.0</v>
      </c>
      <c r="G25" s="21">
        <v>2.0</v>
      </c>
    </row>
    <row r="26" ht="18.0" customHeight="1" outlineLevel="1">
      <c r="A26" s="26" t="s">
        <v>66</v>
      </c>
      <c r="B26" s="12">
        <v>4.0</v>
      </c>
      <c r="C26" s="21">
        <v>10.0</v>
      </c>
      <c r="D26" s="21">
        <v>50.0</v>
      </c>
      <c r="E26" s="21">
        <v>0.0</v>
      </c>
      <c r="F26" s="21">
        <v>15.0</v>
      </c>
      <c r="G26" s="21">
        <v>8.0</v>
      </c>
    </row>
    <row r="27" ht="14.25" customHeight="1">
      <c r="A27" s="17" t="s">
        <v>67</v>
      </c>
      <c r="B27" s="17"/>
      <c r="C27" s="3" t="s">
        <v>12</v>
      </c>
      <c r="D27" s="3" t="s">
        <v>16</v>
      </c>
      <c r="E27" s="3" t="s">
        <v>17</v>
      </c>
      <c r="F27" s="3" t="s">
        <v>18</v>
      </c>
      <c r="G27" s="3" t="s">
        <v>19</v>
      </c>
    </row>
    <row r="28" ht="14.25" customHeight="1">
      <c r="A28" s="29" t="s">
        <v>69</v>
      </c>
      <c r="B28" s="12">
        <v>1.0</v>
      </c>
      <c r="C28" s="12">
        <v>2.0</v>
      </c>
      <c r="D28" s="12">
        <v>5.0</v>
      </c>
      <c r="E28" s="12">
        <v>5.0</v>
      </c>
      <c r="F28" s="12">
        <v>5.0</v>
      </c>
      <c r="G28" s="12">
        <v>0.0</v>
      </c>
    </row>
    <row r="29" ht="14.25" customHeight="1" outlineLevel="1">
      <c r="A29" s="29" t="s">
        <v>70</v>
      </c>
      <c r="B29" s="12">
        <v>3.0</v>
      </c>
      <c r="C29" s="12">
        <v>4.0</v>
      </c>
      <c r="D29" s="12">
        <v>15.0</v>
      </c>
      <c r="E29" s="12">
        <v>5.0</v>
      </c>
      <c r="F29" s="12">
        <v>25.0</v>
      </c>
      <c r="G29" s="12">
        <v>5.0</v>
      </c>
    </row>
    <row r="30" ht="14.25" customHeight="1" outlineLevel="1">
      <c r="A30" s="30" t="s">
        <v>71</v>
      </c>
      <c r="B30" s="12">
        <v>2.0</v>
      </c>
      <c r="C30" s="12">
        <v>4.0</v>
      </c>
      <c r="D30" s="12">
        <v>10.0</v>
      </c>
      <c r="E30" s="12">
        <v>0.0</v>
      </c>
      <c r="F30" s="12">
        <v>10.0</v>
      </c>
      <c r="G30" s="12">
        <v>5.0</v>
      </c>
    </row>
    <row r="31" ht="14.25" customHeight="1" outlineLevel="1">
      <c r="A31" s="17" t="s">
        <v>74</v>
      </c>
      <c r="B31" s="17"/>
      <c r="C31" s="3" t="s">
        <v>12</v>
      </c>
      <c r="D31" s="3" t="s">
        <v>16</v>
      </c>
      <c r="E31" s="3" t="s">
        <v>17</v>
      </c>
      <c r="F31" s="3" t="s">
        <v>18</v>
      </c>
      <c r="G31" s="3" t="s">
        <v>19</v>
      </c>
    </row>
    <row r="32" ht="14.25" customHeight="1">
      <c r="A32" s="29" t="s">
        <v>77</v>
      </c>
      <c r="B32" s="12">
        <v>1.0</v>
      </c>
      <c r="C32" s="12">
        <v>2.0</v>
      </c>
      <c r="D32" s="12">
        <v>10.0</v>
      </c>
      <c r="E32" s="12">
        <v>5.0</v>
      </c>
      <c r="F32" s="12">
        <v>2.0</v>
      </c>
      <c r="G32" s="12">
        <v>0.0</v>
      </c>
    </row>
    <row r="33" ht="14.25" customHeight="1" outlineLevel="1">
      <c r="A33" s="30" t="s">
        <v>80</v>
      </c>
      <c r="B33" s="12">
        <v>1.0</v>
      </c>
      <c r="C33" s="12">
        <v>4.0</v>
      </c>
      <c r="D33" s="12">
        <v>5.0</v>
      </c>
      <c r="E33" s="12">
        <v>0.0</v>
      </c>
      <c r="F33" s="12">
        <v>3.0</v>
      </c>
      <c r="G33" s="12">
        <v>5.0</v>
      </c>
    </row>
    <row r="34" ht="14.25" customHeight="1" outlineLevel="1">
      <c r="A34" s="29" t="s">
        <v>81</v>
      </c>
      <c r="B34" s="12">
        <v>1.0</v>
      </c>
      <c r="C34" s="12">
        <v>6.0</v>
      </c>
      <c r="D34" s="12">
        <v>0.0</v>
      </c>
      <c r="E34" s="12">
        <v>0.0</v>
      </c>
      <c r="F34" s="12">
        <v>5.0</v>
      </c>
      <c r="G34" s="12">
        <v>0.0</v>
      </c>
    </row>
    <row r="35" ht="14.25" customHeight="1">
      <c r="A35" s="32" t="s">
        <v>83</v>
      </c>
      <c r="B35" s="33">
        <f t="shared" ref="B35:G35" si="1">SUM(B6:B34)</f>
        <v>74</v>
      </c>
      <c r="C35" s="34">
        <f t="shared" si="1"/>
        <v>112</v>
      </c>
      <c r="D35" s="34">
        <f t="shared" si="1"/>
        <v>385</v>
      </c>
      <c r="E35" s="34">
        <f t="shared" si="1"/>
        <v>105</v>
      </c>
      <c r="F35" s="34">
        <f t="shared" si="1"/>
        <v>155</v>
      </c>
      <c r="G35" s="34">
        <f t="shared" si="1"/>
        <v>125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mergeCells count="3">
    <mergeCell ref="A2:D2"/>
    <mergeCell ref="C4:G4"/>
    <mergeCell ref="I4:J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.43"/>
    <col customWidth="1" min="2" max="2" width="29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8" width="28.0"/>
    <col customWidth="1" min="9" max="9" width="31.14"/>
    <col customWidth="1" min="10" max="10" width="16.0"/>
    <col customWidth="1" min="11" max="11" width="15.29"/>
    <col customWidth="1" min="12" max="26" width="10.71"/>
  </cols>
  <sheetData>
    <row r="1" ht="14.25" customHeight="1"/>
    <row r="2" ht="14.25" customHeight="1">
      <c r="A2" s="1" t="s">
        <v>0</v>
      </c>
      <c r="B2" s="1" t="s">
        <v>2</v>
      </c>
      <c r="C2" s="1" t="s">
        <v>3</v>
      </c>
      <c r="D2" s="3" t="s">
        <v>4</v>
      </c>
      <c r="E2" s="1" t="s">
        <v>5</v>
      </c>
      <c r="F2" s="1" t="s">
        <v>6</v>
      </c>
      <c r="H2" s="6" t="s">
        <v>7</v>
      </c>
      <c r="I2" s="8"/>
      <c r="J2" s="8"/>
      <c r="K2" s="9"/>
    </row>
    <row r="3" ht="14.25" customHeight="1">
      <c r="A3" s="7" t="s">
        <v>10</v>
      </c>
      <c r="B3" s="7" t="s">
        <v>12</v>
      </c>
      <c r="C3" s="12" t="s">
        <v>13</v>
      </c>
      <c r="D3" s="12">
        <v>7500.0</v>
      </c>
      <c r="E3" s="15">
        <v>40.0</v>
      </c>
      <c r="F3" s="18">
        <f t="shared" ref="F3:F7" si="1">D3*E3</f>
        <v>300000</v>
      </c>
      <c r="H3" s="1" t="s">
        <v>2</v>
      </c>
      <c r="I3" s="1" t="s">
        <v>3</v>
      </c>
      <c r="J3" s="1" t="s">
        <v>20</v>
      </c>
      <c r="K3" s="1" t="s">
        <v>23</v>
      </c>
    </row>
    <row r="4" ht="14.25" customHeight="1">
      <c r="A4" s="12" t="s">
        <v>25</v>
      </c>
      <c r="B4" s="12" t="s">
        <v>26</v>
      </c>
      <c r="C4" s="20" t="s">
        <v>27</v>
      </c>
      <c r="D4" s="12">
        <v>6250.0</v>
      </c>
      <c r="E4" s="15">
        <v>30.0</v>
      </c>
      <c r="F4" s="18">
        <f t="shared" si="1"/>
        <v>187500</v>
      </c>
      <c r="H4" s="7" t="s">
        <v>12</v>
      </c>
      <c r="I4" s="7" t="s">
        <v>12</v>
      </c>
      <c r="J4" s="12">
        <v>7500.0</v>
      </c>
      <c r="K4" s="12">
        <v>600000.0</v>
      </c>
    </row>
    <row r="5" ht="14.25" customHeight="1">
      <c r="A5" s="12" t="s">
        <v>29</v>
      </c>
      <c r="B5" s="12" t="s">
        <v>30</v>
      </c>
      <c r="C5" s="12" t="s">
        <v>31</v>
      </c>
      <c r="D5" s="12">
        <v>6250.0</v>
      </c>
      <c r="E5" s="15">
        <v>30.0</v>
      </c>
      <c r="F5" s="18">
        <f t="shared" si="1"/>
        <v>187500</v>
      </c>
      <c r="H5" s="7" t="s">
        <v>16</v>
      </c>
      <c r="I5" s="20" t="s">
        <v>26</v>
      </c>
      <c r="J5" s="12">
        <v>6250.0</v>
      </c>
      <c r="K5" s="12">
        <v>500000.0</v>
      </c>
    </row>
    <row r="6" ht="14.25" customHeight="1">
      <c r="A6" s="12" t="s">
        <v>33</v>
      </c>
      <c r="B6" s="12" t="s">
        <v>34</v>
      </c>
      <c r="C6" s="12" t="s">
        <v>35</v>
      </c>
      <c r="D6" s="12">
        <v>6250.0</v>
      </c>
      <c r="E6" s="15">
        <v>30.0</v>
      </c>
      <c r="F6" s="18">
        <f t="shared" si="1"/>
        <v>187500</v>
      </c>
      <c r="H6" s="7" t="s">
        <v>36</v>
      </c>
      <c r="I6" s="12" t="s">
        <v>30</v>
      </c>
      <c r="J6" s="12">
        <v>6250.0</v>
      </c>
      <c r="K6" s="12">
        <v>500000.0</v>
      </c>
    </row>
    <row r="7" ht="14.25" customHeight="1">
      <c r="A7" s="12" t="s">
        <v>38</v>
      </c>
      <c r="B7" s="12" t="s">
        <v>39</v>
      </c>
      <c r="C7" s="12" t="s">
        <v>40</v>
      </c>
      <c r="D7" s="12">
        <v>5625.0</v>
      </c>
      <c r="E7" s="15">
        <v>40.0</v>
      </c>
      <c r="F7" s="18">
        <f t="shared" si="1"/>
        <v>225000</v>
      </c>
      <c r="H7" s="7" t="s">
        <v>41</v>
      </c>
      <c r="I7" s="12" t="s">
        <v>34</v>
      </c>
      <c r="J7" s="12">
        <v>6250.0</v>
      </c>
      <c r="K7" s="12">
        <v>500000.0</v>
      </c>
    </row>
    <row r="8" ht="14.25" customHeight="1">
      <c r="A8" s="7"/>
      <c r="B8" s="11" t="s">
        <v>43</v>
      </c>
      <c r="C8" s="13"/>
      <c r="D8" s="13"/>
      <c r="E8" s="14"/>
      <c r="F8" s="18">
        <f>SUM(F3:F7)</f>
        <v>1087500</v>
      </c>
      <c r="H8" s="7" t="s">
        <v>19</v>
      </c>
      <c r="I8" s="12" t="s">
        <v>39</v>
      </c>
      <c r="J8" s="12">
        <v>5625.0</v>
      </c>
      <c r="K8" s="12">
        <v>450000.0</v>
      </c>
    </row>
    <row r="9" ht="14.25" customHeight="1"/>
    <row r="10" ht="14.25" customHeight="1"/>
    <row r="11" ht="14.25" customHeight="1">
      <c r="A11" s="1" t="s">
        <v>0</v>
      </c>
      <c r="B11" s="1" t="s">
        <v>2</v>
      </c>
      <c r="C11" s="1" t="s">
        <v>3</v>
      </c>
      <c r="D11" s="3" t="s">
        <v>47</v>
      </c>
      <c r="E11" s="1" t="s">
        <v>5</v>
      </c>
      <c r="F11" s="1" t="s">
        <v>48</v>
      </c>
      <c r="H11" s="6" t="s">
        <v>49</v>
      </c>
      <c r="I11" s="9"/>
    </row>
    <row r="12" ht="14.25" customHeight="1">
      <c r="A12" s="7" t="s">
        <v>10</v>
      </c>
      <c r="B12" s="7" t="s">
        <v>12</v>
      </c>
      <c r="C12" s="12" t="s">
        <v>13</v>
      </c>
      <c r="D12" s="12">
        <v>7500.0</v>
      </c>
      <c r="E12" s="15">
        <v>20.0</v>
      </c>
      <c r="F12" s="18">
        <f t="shared" ref="F12:F16" si="2">D12*E12</f>
        <v>150000</v>
      </c>
      <c r="H12" s="7" t="s">
        <v>12</v>
      </c>
      <c r="I12" s="18">
        <f t="shared" ref="I12:I16" si="3">F3+F12+F21+F30+F39</f>
        <v>840000</v>
      </c>
    </row>
    <row r="13" ht="14.25" customHeight="1">
      <c r="A13" s="12" t="s">
        <v>25</v>
      </c>
      <c r="B13" s="12" t="s">
        <v>26</v>
      </c>
      <c r="C13" s="20" t="s">
        <v>27</v>
      </c>
      <c r="D13" s="12">
        <v>6250.0</v>
      </c>
      <c r="E13" s="15">
        <v>35.0</v>
      </c>
      <c r="F13" s="18">
        <f t="shared" si="2"/>
        <v>218750</v>
      </c>
      <c r="H13" s="12" t="s">
        <v>26</v>
      </c>
      <c r="I13" s="18">
        <f t="shared" si="3"/>
        <v>1281250</v>
      </c>
    </row>
    <row r="14" ht="14.25" customHeight="1">
      <c r="A14" s="12" t="s">
        <v>29</v>
      </c>
      <c r="B14" s="12" t="s">
        <v>30</v>
      </c>
      <c r="C14" s="12" t="s">
        <v>31</v>
      </c>
      <c r="D14" s="12">
        <v>6250.0</v>
      </c>
      <c r="E14" s="15">
        <v>35.0</v>
      </c>
      <c r="F14" s="18">
        <f t="shared" si="2"/>
        <v>218750</v>
      </c>
      <c r="H14" s="12" t="s">
        <v>30</v>
      </c>
      <c r="I14" s="18">
        <f t="shared" si="3"/>
        <v>1187500</v>
      </c>
    </row>
    <row r="15" ht="14.25" customHeight="1">
      <c r="A15" s="12" t="s">
        <v>33</v>
      </c>
      <c r="B15" s="12" t="s">
        <v>34</v>
      </c>
      <c r="C15" s="12" t="s">
        <v>35</v>
      </c>
      <c r="D15" s="12">
        <v>6250.0</v>
      </c>
      <c r="E15" s="15">
        <v>35.0</v>
      </c>
      <c r="F15" s="18">
        <f t="shared" si="2"/>
        <v>218750</v>
      </c>
      <c r="H15" s="12" t="s">
        <v>34</v>
      </c>
      <c r="I15" s="18">
        <f t="shared" si="3"/>
        <v>1093750</v>
      </c>
    </row>
    <row r="16" ht="14.25" customHeight="1">
      <c r="A16" s="12" t="s">
        <v>38</v>
      </c>
      <c r="B16" s="12" t="s">
        <v>39</v>
      </c>
      <c r="C16" s="12" t="s">
        <v>40</v>
      </c>
      <c r="D16" s="12">
        <v>5625.0</v>
      </c>
      <c r="E16" s="15">
        <v>70.0</v>
      </c>
      <c r="F16" s="18">
        <f t="shared" si="2"/>
        <v>393750</v>
      </c>
      <c r="H16" s="12" t="s">
        <v>39</v>
      </c>
      <c r="I16" s="18">
        <f t="shared" si="3"/>
        <v>1181250</v>
      </c>
    </row>
    <row r="17" ht="14.25" customHeight="1">
      <c r="A17" s="7"/>
      <c r="B17" s="11" t="s">
        <v>57</v>
      </c>
      <c r="C17" s="13"/>
      <c r="D17" s="13"/>
      <c r="E17" s="14"/>
      <c r="F17" s="18">
        <f>SUM(F12:F16)</f>
        <v>1200000</v>
      </c>
      <c r="H17" s="27" t="s">
        <v>59</v>
      </c>
      <c r="I17" s="28">
        <f>SUM(I12:I16)</f>
        <v>5583750</v>
      </c>
    </row>
    <row r="18" ht="14.25" customHeight="1"/>
    <row r="19" ht="14.25" customHeight="1"/>
    <row r="20" ht="14.25" customHeight="1">
      <c r="A20" s="1" t="s">
        <v>0</v>
      </c>
      <c r="B20" s="1" t="s">
        <v>2</v>
      </c>
      <c r="C20" s="1" t="s">
        <v>3</v>
      </c>
      <c r="D20" s="3" t="s">
        <v>47</v>
      </c>
      <c r="E20" s="1" t="s">
        <v>5</v>
      </c>
      <c r="F20" s="1" t="s">
        <v>62</v>
      </c>
      <c r="H20" s="6" t="s">
        <v>63</v>
      </c>
      <c r="I20" s="9"/>
    </row>
    <row r="21" ht="14.25" customHeight="1">
      <c r="A21" s="7" t="s">
        <v>10</v>
      </c>
      <c r="B21" s="7" t="s">
        <v>12</v>
      </c>
      <c r="C21" s="12" t="s">
        <v>13</v>
      </c>
      <c r="D21" s="12">
        <v>7500.0</v>
      </c>
      <c r="E21" s="15">
        <v>30.0</v>
      </c>
      <c r="F21" s="18">
        <f t="shared" ref="F21:F25" si="4">D21*E21</f>
        <v>225000</v>
      </c>
      <c r="H21" s="7" t="s">
        <v>15</v>
      </c>
      <c r="I21" s="18">
        <f>F8</f>
        <v>1087500</v>
      </c>
    </row>
    <row r="22" ht="14.25" customHeight="1">
      <c r="A22" s="12" t="s">
        <v>25</v>
      </c>
      <c r="B22" s="12" t="s">
        <v>26</v>
      </c>
      <c r="C22" s="20" t="s">
        <v>27</v>
      </c>
      <c r="D22" s="12">
        <v>6250.0</v>
      </c>
      <c r="E22" s="15">
        <v>110.0</v>
      </c>
      <c r="F22" s="18">
        <f t="shared" si="4"/>
        <v>687500</v>
      </c>
      <c r="H22" s="7" t="s">
        <v>68</v>
      </c>
      <c r="I22" s="18">
        <f>F17</f>
        <v>1200000</v>
      </c>
    </row>
    <row r="23" ht="14.25" customHeight="1">
      <c r="A23" s="12" t="s">
        <v>29</v>
      </c>
      <c r="B23" s="12" t="s">
        <v>30</v>
      </c>
      <c r="C23" s="12" t="s">
        <v>31</v>
      </c>
      <c r="D23" s="12">
        <v>6250.0</v>
      </c>
      <c r="E23" s="15">
        <v>100.0</v>
      </c>
      <c r="F23" s="18">
        <f t="shared" si="4"/>
        <v>625000</v>
      </c>
      <c r="H23" s="7" t="s">
        <v>52</v>
      </c>
      <c r="I23" s="18">
        <f>F26</f>
        <v>2381250</v>
      </c>
    </row>
    <row r="24" ht="14.25" customHeight="1">
      <c r="A24" s="12" t="s">
        <v>33</v>
      </c>
      <c r="B24" s="12" t="s">
        <v>34</v>
      </c>
      <c r="C24" s="12" t="s">
        <v>35</v>
      </c>
      <c r="D24" s="12">
        <v>6250.0</v>
      </c>
      <c r="E24" s="15">
        <v>90.0</v>
      </c>
      <c r="F24" s="18">
        <f t="shared" si="4"/>
        <v>562500</v>
      </c>
      <c r="H24" s="7" t="s">
        <v>72</v>
      </c>
      <c r="I24" s="18">
        <f>F35</f>
        <v>612500</v>
      </c>
    </row>
    <row r="25" ht="14.25" customHeight="1">
      <c r="A25" s="12" t="s">
        <v>38</v>
      </c>
      <c r="B25" s="12" t="s">
        <v>39</v>
      </c>
      <c r="C25" s="12" t="s">
        <v>40</v>
      </c>
      <c r="D25" s="12">
        <v>5625.0</v>
      </c>
      <c r="E25" s="15">
        <v>50.0</v>
      </c>
      <c r="F25" s="18">
        <f t="shared" si="4"/>
        <v>281250</v>
      </c>
      <c r="H25" s="7" t="s">
        <v>73</v>
      </c>
      <c r="I25" s="18">
        <f>F44</f>
        <v>302500</v>
      </c>
    </row>
    <row r="26" ht="14.25" customHeight="1">
      <c r="A26" s="7"/>
      <c r="B26" s="11" t="s">
        <v>75</v>
      </c>
      <c r="C26" s="13"/>
      <c r="D26" s="13"/>
      <c r="E26" s="14"/>
      <c r="F26" s="18">
        <f>SUM(F21:F25)</f>
        <v>2381250</v>
      </c>
      <c r="H26" s="27" t="s">
        <v>76</v>
      </c>
      <c r="I26" s="28">
        <f>SUM(I21:I25)</f>
        <v>5583750</v>
      </c>
    </row>
    <row r="27" ht="14.25" customHeight="1"/>
    <row r="28" ht="14.25" customHeight="1"/>
    <row r="29" ht="14.25" customHeight="1">
      <c r="A29" s="1" t="s">
        <v>0</v>
      </c>
      <c r="B29" s="1" t="s">
        <v>2</v>
      </c>
      <c r="C29" s="1" t="s">
        <v>3</v>
      </c>
      <c r="D29" s="3" t="s">
        <v>47</v>
      </c>
      <c r="E29" s="1" t="s">
        <v>5</v>
      </c>
      <c r="F29" s="1" t="s">
        <v>78</v>
      </c>
      <c r="H29" s="1" t="s">
        <v>79</v>
      </c>
      <c r="I29" s="31">
        <v>0.6</v>
      </c>
    </row>
    <row r="30" ht="14.25" customHeight="1">
      <c r="A30" s="7" t="s">
        <v>10</v>
      </c>
      <c r="B30" s="7" t="s">
        <v>12</v>
      </c>
      <c r="C30" s="12" t="s">
        <v>13</v>
      </c>
      <c r="D30" s="12">
        <v>7500.0</v>
      </c>
      <c r="E30" s="15">
        <v>10.0</v>
      </c>
      <c r="F30" s="18">
        <f t="shared" ref="F30:F34" si="5">D30*E30</f>
        <v>75000</v>
      </c>
      <c r="H30" s="7" t="s">
        <v>82</v>
      </c>
      <c r="I30" s="18">
        <f>I26*I29</f>
        <v>3350250</v>
      </c>
    </row>
    <row r="31" ht="14.25" customHeight="1">
      <c r="A31" s="12" t="s">
        <v>25</v>
      </c>
      <c r="B31" s="12" t="s">
        <v>26</v>
      </c>
      <c r="C31" s="20" t="s">
        <v>27</v>
      </c>
      <c r="D31" s="12">
        <v>6250.0</v>
      </c>
      <c r="E31" s="15">
        <v>20.0</v>
      </c>
      <c r="F31" s="18">
        <f t="shared" si="5"/>
        <v>125000</v>
      </c>
      <c r="H31" s="7" t="s">
        <v>84</v>
      </c>
      <c r="I31" s="18">
        <f>I26+I30</f>
        <v>8934000</v>
      </c>
    </row>
    <row r="32" ht="14.25" customHeight="1">
      <c r="A32" s="12" t="s">
        <v>29</v>
      </c>
      <c r="B32" s="12" t="s">
        <v>30</v>
      </c>
      <c r="C32" s="12" t="s">
        <v>31</v>
      </c>
      <c r="D32" s="12">
        <v>6250.0</v>
      </c>
      <c r="E32" s="15">
        <v>15.0</v>
      </c>
      <c r="F32" s="18">
        <f t="shared" si="5"/>
        <v>93750</v>
      </c>
    </row>
    <row r="33" ht="14.25" customHeight="1">
      <c r="A33" s="12" t="s">
        <v>33</v>
      </c>
      <c r="B33" s="12" t="s">
        <v>34</v>
      </c>
      <c r="C33" s="12" t="s">
        <v>35</v>
      </c>
      <c r="D33" s="12">
        <v>6250.0</v>
      </c>
      <c r="E33" s="15">
        <v>15.0</v>
      </c>
      <c r="F33" s="18">
        <f t="shared" si="5"/>
        <v>93750</v>
      </c>
    </row>
    <row r="34" ht="14.25" customHeight="1">
      <c r="A34" s="12" t="s">
        <v>38</v>
      </c>
      <c r="B34" s="12" t="s">
        <v>39</v>
      </c>
      <c r="C34" s="12" t="s">
        <v>40</v>
      </c>
      <c r="D34" s="12">
        <v>5625.0</v>
      </c>
      <c r="E34" s="15">
        <v>40.0</v>
      </c>
      <c r="F34" s="18">
        <f t="shared" si="5"/>
        <v>225000</v>
      </c>
    </row>
    <row r="35" ht="14.25" customHeight="1">
      <c r="A35" s="7"/>
      <c r="B35" s="11" t="s">
        <v>85</v>
      </c>
      <c r="C35" s="13"/>
      <c r="D35" s="13"/>
      <c r="E35" s="14"/>
      <c r="F35" s="18">
        <f>SUM(F30:F34)</f>
        <v>612500</v>
      </c>
    </row>
    <row r="36" ht="14.25" customHeight="1"/>
    <row r="37" ht="14.25" customHeight="1"/>
    <row r="38" ht="14.25" customHeight="1">
      <c r="A38" s="1" t="s">
        <v>0</v>
      </c>
      <c r="B38" s="1" t="s">
        <v>2</v>
      </c>
      <c r="C38" s="1" t="s">
        <v>3</v>
      </c>
      <c r="D38" s="3" t="s">
        <v>47</v>
      </c>
      <c r="E38" s="1" t="s">
        <v>5</v>
      </c>
      <c r="F38" s="3" t="s">
        <v>86</v>
      </c>
    </row>
    <row r="39" ht="14.25" customHeight="1">
      <c r="A39" s="7" t="s">
        <v>10</v>
      </c>
      <c r="B39" s="7" t="s">
        <v>12</v>
      </c>
      <c r="C39" s="12" t="s">
        <v>13</v>
      </c>
      <c r="D39" s="12">
        <v>7500.0</v>
      </c>
      <c r="E39" s="15">
        <v>12.0</v>
      </c>
      <c r="F39" s="18">
        <f t="shared" ref="F39:F43" si="6">D39*E39</f>
        <v>90000</v>
      </c>
    </row>
    <row r="40" ht="14.25" customHeight="1">
      <c r="A40" s="12" t="s">
        <v>25</v>
      </c>
      <c r="B40" s="12" t="s">
        <v>26</v>
      </c>
      <c r="C40" s="20" t="s">
        <v>27</v>
      </c>
      <c r="D40" s="12">
        <v>6250.0</v>
      </c>
      <c r="E40" s="15">
        <v>10.0</v>
      </c>
      <c r="F40" s="18">
        <f t="shared" si="6"/>
        <v>62500</v>
      </c>
    </row>
    <row r="41" ht="14.25" customHeight="1">
      <c r="A41" s="12" t="s">
        <v>29</v>
      </c>
      <c r="B41" s="12" t="s">
        <v>30</v>
      </c>
      <c r="C41" s="12" t="s">
        <v>31</v>
      </c>
      <c r="D41" s="12">
        <v>6250.0</v>
      </c>
      <c r="E41" s="15">
        <v>10.0</v>
      </c>
      <c r="F41" s="18">
        <f t="shared" si="6"/>
        <v>62500</v>
      </c>
    </row>
    <row r="42" ht="14.25" customHeight="1">
      <c r="A42" s="12" t="s">
        <v>33</v>
      </c>
      <c r="B42" s="12" t="s">
        <v>34</v>
      </c>
      <c r="C42" s="12" t="s">
        <v>35</v>
      </c>
      <c r="D42" s="12">
        <v>6250.0</v>
      </c>
      <c r="E42" s="15">
        <v>5.0</v>
      </c>
      <c r="F42" s="18">
        <f t="shared" si="6"/>
        <v>31250</v>
      </c>
    </row>
    <row r="43" ht="14.25" customHeight="1">
      <c r="A43" s="12" t="s">
        <v>38</v>
      </c>
      <c r="B43" s="12" t="s">
        <v>39</v>
      </c>
      <c r="C43" s="12" t="s">
        <v>40</v>
      </c>
      <c r="D43" s="12">
        <v>5625.0</v>
      </c>
      <c r="E43" s="15">
        <v>10.0</v>
      </c>
      <c r="F43" s="18">
        <f t="shared" si="6"/>
        <v>56250</v>
      </c>
    </row>
    <row r="44" ht="14.25" customHeight="1">
      <c r="A44" s="7"/>
      <c r="B44" s="11" t="s">
        <v>87</v>
      </c>
      <c r="C44" s="13"/>
      <c r="D44" s="13"/>
      <c r="E44" s="14"/>
      <c r="F44" s="18">
        <f>SUM(F39:F43)</f>
        <v>302500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H2:K2"/>
    <mergeCell ref="B8:E8"/>
    <mergeCell ref="H11:I11"/>
    <mergeCell ref="B17:E17"/>
    <mergeCell ref="H20:I20"/>
    <mergeCell ref="B26:E26"/>
    <mergeCell ref="B35:E35"/>
    <mergeCell ref="B44:E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